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816DDF82-4704-490C-94EC-52813163143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Orders" sheetId="1" r:id="rId1"/>
    <sheet name="PriceList" sheetId="2" r:id="rId2"/>
    <sheet name="Pivot Table" sheetId="3" r:id="rId3"/>
  </sheets>
  <definedNames>
    <definedName name="_xlnm._FilterDatabase" localSheetId="0" hidden="1">Orders!$A$4:$J$54</definedName>
  </definedNames>
  <calcPr calcId="191028" iterateDelta="1E-4"/>
  <pivotCaches>
    <pivotCache cacheId="10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3" i="1" l="1"/>
  <c r="B63" i="1"/>
  <c r="C62" i="1"/>
  <c r="B62" i="1"/>
  <c r="C61" i="1"/>
  <c r="B61" i="1"/>
  <c r="D58" i="1"/>
  <c r="D57" i="1"/>
  <c r="D56" i="1"/>
  <c r="J54" i="1"/>
  <c r="I54" i="1"/>
  <c r="G54" i="1"/>
  <c r="H54" i="1" s="1"/>
  <c r="J53" i="1"/>
  <c r="I53" i="1"/>
  <c r="G53" i="1"/>
  <c r="H53" i="1" s="1"/>
  <c r="J52" i="1"/>
  <c r="I52" i="1"/>
  <c r="G52" i="1"/>
  <c r="H52" i="1" s="1"/>
  <c r="J51" i="1"/>
  <c r="I51" i="1"/>
  <c r="G51" i="1"/>
  <c r="H51" i="1" s="1"/>
  <c r="J50" i="1"/>
  <c r="I50" i="1"/>
  <c r="G50" i="1"/>
  <c r="H50" i="1" s="1"/>
  <c r="J49" i="1"/>
  <c r="I49" i="1"/>
  <c r="G49" i="1"/>
  <c r="H49" i="1" s="1"/>
  <c r="J48" i="1"/>
  <c r="I48" i="1"/>
  <c r="G48" i="1"/>
  <c r="H48" i="1" s="1"/>
  <c r="J47" i="1"/>
  <c r="I47" i="1"/>
  <c r="G47" i="1"/>
  <c r="H47" i="1" s="1"/>
  <c r="J46" i="1"/>
  <c r="I46" i="1"/>
  <c r="G46" i="1"/>
  <c r="H46" i="1" s="1"/>
  <c r="J45" i="1"/>
  <c r="I45" i="1"/>
  <c r="G45" i="1"/>
  <c r="H45" i="1" s="1"/>
  <c r="J44" i="1"/>
  <c r="I44" i="1"/>
  <c r="G44" i="1"/>
  <c r="H44" i="1" s="1"/>
  <c r="J43" i="1"/>
  <c r="I43" i="1"/>
  <c r="G43" i="1"/>
  <c r="H43" i="1" s="1"/>
  <c r="J42" i="1"/>
  <c r="I42" i="1"/>
  <c r="G42" i="1"/>
  <c r="H42" i="1" s="1"/>
  <c r="J41" i="1"/>
  <c r="I41" i="1"/>
  <c r="G41" i="1"/>
  <c r="H41" i="1" s="1"/>
  <c r="J40" i="1"/>
  <c r="I40" i="1"/>
  <c r="G40" i="1"/>
  <c r="H40" i="1" s="1"/>
  <c r="J39" i="1"/>
  <c r="I39" i="1"/>
  <c r="G39" i="1"/>
  <c r="H39" i="1" s="1"/>
  <c r="J38" i="1"/>
  <c r="I38" i="1"/>
  <c r="G38" i="1"/>
  <c r="H38" i="1" s="1"/>
  <c r="J37" i="1"/>
  <c r="I37" i="1"/>
  <c r="G37" i="1"/>
  <c r="H37" i="1" s="1"/>
  <c r="J36" i="1"/>
  <c r="I36" i="1"/>
  <c r="G36" i="1"/>
  <c r="H36" i="1" s="1"/>
  <c r="J35" i="1"/>
  <c r="I35" i="1"/>
  <c r="G35" i="1"/>
  <c r="H35" i="1" s="1"/>
  <c r="J34" i="1"/>
  <c r="I34" i="1"/>
  <c r="G34" i="1"/>
  <c r="H34" i="1" s="1"/>
  <c r="J33" i="1"/>
  <c r="I33" i="1"/>
  <c r="G33" i="1"/>
  <c r="H33" i="1" s="1"/>
  <c r="J32" i="1"/>
  <c r="I32" i="1"/>
  <c r="G32" i="1"/>
  <c r="H32" i="1" s="1"/>
  <c r="J31" i="1"/>
  <c r="I31" i="1"/>
  <c r="G31" i="1"/>
  <c r="H31" i="1" s="1"/>
  <c r="J30" i="1"/>
  <c r="I30" i="1"/>
  <c r="G30" i="1"/>
  <c r="H30" i="1" s="1"/>
  <c r="J29" i="1"/>
  <c r="I29" i="1"/>
  <c r="G29" i="1"/>
  <c r="H29" i="1" s="1"/>
  <c r="J28" i="1"/>
  <c r="I28" i="1"/>
  <c r="G28" i="1"/>
  <c r="H28" i="1" s="1"/>
  <c r="J27" i="1"/>
  <c r="I27" i="1"/>
  <c r="G27" i="1"/>
  <c r="H27" i="1" s="1"/>
  <c r="J26" i="1"/>
  <c r="I26" i="1"/>
  <c r="G26" i="1"/>
  <c r="H26" i="1" s="1"/>
  <c r="J25" i="1"/>
  <c r="I25" i="1"/>
  <c r="G25" i="1"/>
  <c r="H25" i="1" s="1"/>
  <c r="J24" i="1"/>
  <c r="I24" i="1"/>
  <c r="G24" i="1"/>
  <c r="H24" i="1" s="1"/>
  <c r="J23" i="1"/>
  <c r="I23" i="1"/>
  <c r="G23" i="1"/>
  <c r="H23" i="1" s="1"/>
  <c r="J22" i="1"/>
  <c r="I22" i="1"/>
  <c r="G22" i="1"/>
  <c r="H22" i="1" s="1"/>
  <c r="J21" i="1"/>
  <c r="I21" i="1"/>
  <c r="G21" i="1"/>
  <c r="H21" i="1" s="1"/>
  <c r="J20" i="1"/>
  <c r="I20" i="1"/>
  <c r="G20" i="1"/>
  <c r="H20" i="1" s="1"/>
  <c r="J19" i="1"/>
  <c r="I19" i="1"/>
  <c r="G19" i="1"/>
  <c r="H19" i="1" s="1"/>
  <c r="J18" i="1"/>
  <c r="I18" i="1"/>
  <c r="G18" i="1"/>
  <c r="H18" i="1" s="1"/>
  <c r="J17" i="1"/>
  <c r="I17" i="1"/>
  <c r="G17" i="1"/>
  <c r="H17" i="1" s="1"/>
  <c r="J16" i="1"/>
  <c r="I16" i="1"/>
  <c r="G16" i="1"/>
  <c r="H16" i="1" s="1"/>
  <c r="J15" i="1"/>
  <c r="I15" i="1"/>
  <c r="G15" i="1"/>
  <c r="H15" i="1" s="1"/>
  <c r="J14" i="1"/>
  <c r="I14" i="1"/>
  <c r="G14" i="1"/>
  <c r="H14" i="1" s="1"/>
  <c r="J13" i="1"/>
  <c r="I13" i="1"/>
  <c r="G13" i="1"/>
  <c r="H13" i="1" s="1"/>
  <c r="J12" i="1"/>
  <c r="I12" i="1"/>
  <c r="G12" i="1"/>
  <c r="H12" i="1" s="1"/>
  <c r="J11" i="1"/>
  <c r="I11" i="1"/>
  <c r="G11" i="1"/>
  <c r="H11" i="1" s="1"/>
  <c r="J10" i="1"/>
  <c r="I10" i="1"/>
  <c r="G10" i="1"/>
  <c r="H10" i="1" s="1"/>
  <c r="J9" i="1"/>
  <c r="I9" i="1"/>
  <c r="G9" i="1"/>
  <c r="H9" i="1" s="1"/>
  <c r="J8" i="1"/>
  <c r="I8" i="1"/>
  <c r="G8" i="1"/>
  <c r="H8" i="1" s="1"/>
  <c r="J7" i="1"/>
  <c r="I7" i="1"/>
  <c r="G7" i="1"/>
  <c r="H7" i="1" s="1"/>
  <c r="J6" i="1"/>
  <c r="I6" i="1"/>
  <c r="G6" i="1"/>
  <c r="H6" i="1" s="1"/>
  <c r="J5" i="1"/>
  <c r="I5" i="1"/>
  <c r="G5" i="1"/>
  <c r="H5" i="1" s="1"/>
  <c r="H56" i="1" s="1"/>
</calcChain>
</file>

<file path=xl/sharedStrings.xml><?xml version="1.0" encoding="utf-8"?>
<sst xmlns="http://schemas.openxmlformats.org/spreadsheetml/2006/main" count="285" uniqueCount="80">
  <si>
    <t>Sales Order Analysis — Order Data</t>
  </si>
  <si>
    <t>Order ID</t>
  </si>
  <si>
    <t>Product ID</t>
  </si>
  <si>
    <t>Product</t>
  </si>
  <si>
    <t>Quantity</t>
  </si>
  <si>
    <t>Status</t>
  </si>
  <si>
    <t>City</t>
  </si>
  <si>
    <t>Unit Price</t>
  </si>
  <si>
    <t>Total Value</t>
  </si>
  <si>
    <t>Flag</t>
  </si>
  <si>
    <t>Unit Price  (INDEX MATCH)</t>
  </si>
  <si>
    <t>ORD001</t>
  </si>
  <si>
    <t>P103</t>
  </si>
  <si>
    <t>Lens C</t>
  </si>
  <si>
    <t>Pending</t>
  </si>
  <si>
    <t>Nagpur</t>
  </si>
  <si>
    <t>ORD002</t>
  </si>
  <si>
    <t>P102</t>
  </si>
  <si>
    <t>Lens B</t>
  </si>
  <si>
    <t>Pune</t>
  </si>
  <si>
    <t>ORD003</t>
  </si>
  <si>
    <t>Cancelled</t>
  </si>
  <si>
    <t>ORD004</t>
  </si>
  <si>
    <t>Mumbai</t>
  </si>
  <si>
    <t>ORD005</t>
  </si>
  <si>
    <t>P101</t>
  </si>
  <si>
    <t>Lens A</t>
  </si>
  <si>
    <t>ORD006</t>
  </si>
  <si>
    <t>ORD007</t>
  </si>
  <si>
    <t>ORD008</t>
  </si>
  <si>
    <t>ORD009</t>
  </si>
  <si>
    <t>ORD010</t>
  </si>
  <si>
    <t>Completed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</si>
  <si>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</si>
  <si>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</si>
  <si>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</si>
  <si>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</si>
  <si>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</si>
  <si>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</si>
  <si>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</si>
  <si>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</si>
  <si>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</si>
  <si>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</si>
  <si>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</si>
  <si>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</si>
  <si>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</si>
  <si>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</si>
  <si>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</si>
  <si>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</si>
  <si>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</si>
  <si>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</si>
  <si>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</si>
  <si>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</si>
  <si>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</si>
  <si>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</si>
  <si>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</si>
  <si>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</si>
  <si>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</si>
  <si>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</si>
  <si>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</si>
  <si>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</si>
  <si>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</si>
  <si>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</si>
  <si>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</si>
  <si>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</si>
  <si>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</si>
  <si>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</si>
  <si>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</si>
  <si>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</si>
  <si>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</si>
  <si>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</si>
  <si>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</si>
  <si>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</si>
  <si>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Total</t>
  </si>
  <si>
    <t>Count Of Quantity Entries</t>
  </si>
  <si>
    <t>Count Of Order IDs</t>
  </si>
  <si>
    <t>Total Quantity</t>
  </si>
  <si>
    <t>Number Of Orders</t>
  </si>
  <si>
    <t>Sum of Quantity</t>
  </si>
  <si>
    <t>Total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</si>
</sst>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000000"/>
      <name val="Calibri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6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Font="1" applyBorder="1"/>
    <xf numFmtId="0" fontId="0" fillId="0" borderId="2" xfId="3" applyFont="1" applyBorder="1"/>
    <xf numFmtId="0" fontId="0" fillId="0" borderId="3" xfId="1" applyFont="1" applyBorder="1"/>
    <xf numFmtId="0" fontId="0" fillId="0" borderId="4" xfId="4" applyFont="1" applyBorder="1">
      <alignment horizontal="left"/>
    </xf>
    <xf numFmtId="0" fontId="3" fillId="0" borderId="5" xfId="2" applyBorder="1"/>
    <xf numFmtId="0" fontId="0" fillId="0" borderId="6" xfId="4" applyFont="1" applyBorder="1">
      <alignment horizontal="left"/>
    </xf>
    <xf numFmtId="0" fontId="3" fillId="0" borderId="7" xfId="2" applyBorder="1"/>
    <xf numFmtId="0" fontId="3" fillId="0" borderId="8" xfId="2" applyBorder="1"/>
    <xf numFmtId="0" fontId="1" fillId="0" borderId="9" xfId="5" applyFont="1" applyBorder="1">
      <alignment horizontal="left"/>
    </xf>
    <xf numFmtId="0" fontId="1" fillId="0" borderId="10" xfId="6" applyBorder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theme="9" tint="0.39988402966399123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4F81BD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</a:rPr>
              <a:t>Total Quantity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Table'!$A$4:$A$7</c:f>
              <c:strCache>
                <c:ptCount val="4"/>
                <c:pt idx="0">
                  <c:v>Lens A</c:v>
                </c:pt>
                <c:pt idx="1">
                  <c:v>Lens B</c:v>
                </c:pt>
                <c:pt idx="2">
                  <c:v>Lens C</c:v>
                </c:pt>
                <c:pt idx="3">
                  <c:v>Total Result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4"/>
                <c:pt idx="0">
                  <c:v>296</c:v>
                </c:pt>
                <c:pt idx="1">
                  <c:v>323</c:v>
                </c:pt>
                <c:pt idx="2">
                  <c:v>311</c:v>
                </c:pt>
                <c:pt idx="3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6-4616-92BA-1D062B81C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42620"/>
        <c:axId val="39792490"/>
      </c:barChart>
      <c:catAx>
        <c:axId val="996426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792490"/>
        <c:crosses val="autoZero"/>
        <c:auto val="1"/>
        <c:lblAlgn val="ctr"/>
        <c:lblOffset val="100"/>
        <c:noMultiLvlLbl val="0"/>
      </c:catAx>
      <c:valAx>
        <c:axId val="397924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96426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8</xdr:row>
      <xdr:rowOff>0</xdr:rowOff>
    </xdr:from>
    <xdr:to>
      <xdr:col>5</xdr:col>
      <xdr:colOff>428040</xdr:colOff>
      <xdr:row>22</xdr:row>
      <xdr:rowOff>75960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50" xr:uid="{00000000-000A-0000-FFFF-FFFF01000000}">
  <cacheSource type="worksheet">
    <worksheetSource ref="A4:J54" sheet="Orders"/>
  </cacheSource>
  <cacheFields count="10">
    <cacheField name="Order ID" numFmtId="0">
      <sharedItems count="5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</sharedItems>
    </cacheField>
    <cacheField name="Product ID" numFmtId="0">
      <sharedItems count="3">
        <s v="P101"/>
        <s v="P102"/>
        <s v="P103"/>
      </sharedItems>
    </cacheField>
    <cacheField name="Product" numFmtId="0">
      <sharedItems count="3">
        <s v="Lens A"/>
        <s v="Lens B"/>
        <s v="Lens C"/>
      </sharedItems>
    </cacheField>
    <cacheField name="Quantity" numFmtId="0">
      <sharedItems containsSemiMixedTypes="0" containsString="0" containsNumber="1" containsInteger="1" minValue="3" maxValue="35" count="23">
        <n v="3"/>
        <n v="4"/>
        <n v="7"/>
        <n v="8"/>
        <n v="9"/>
        <n v="10"/>
        <n v="13"/>
        <n v="15"/>
        <n v="16"/>
        <n v="17"/>
        <n v="18"/>
        <n v="19"/>
        <n v="20"/>
        <n v="21"/>
        <n v="23"/>
        <n v="24"/>
        <n v="26"/>
        <n v="27"/>
        <n v="28"/>
        <n v="29"/>
        <n v="30"/>
        <n v="33"/>
        <n v="35"/>
      </sharedItems>
    </cacheField>
    <cacheField name="Status" numFmtId="0">
      <sharedItems count="3">
        <s v="Cancelled"/>
        <s v="Completed"/>
        <s v="Pending"/>
      </sharedItems>
    </cacheField>
    <cacheField name="City" numFmtId="0">
      <sharedItems count="3">
        <s v="Mumbai"/>
        <s v="Nagpur"/>
        <s v="Pune"/>
      </sharedItems>
    </cacheField>
    <cacheField name="Unit Price" numFmtId="0">
      <sharedItems containsSemiMixedTypes="0" containsString="0" containsNumber="1" containsInteger="1" minValue="450" maxValue="700" count="3">
        <n v="450"/>
        <n v="500"/>
        <n v="700"/>
      </sharedItems>
    </cacheField>
    <cacheField name="Total Value" numFmtId="0">
      <sharedItems containsSemiMixedTypes="0" containsString="0" containsNumber="1" containsInteger="1" minValue="1350" maxValue="21000" count="37">
        <n v="1350"/>
        <n v="2000"/>
        <n v="2800"/>
        <n v="3150"/>
        <n v="3600"/>
        <n v="4050"/>
        <n v="4500"/>
        <n v="4900"/>
        <n v="5000"/>
        <n v="6750"/>
        <n v="7000"/>
        <n v="7650"/>
        <n v="8000"/>
        <n v="8500"/>
        <n v="8550"/>
        <n v="9000"/>
        <n v="9100"/>
        <n v="9450"/>
        <n v="9500"/>
        <n v="10350"/>
        <n v="10500"/>
        <n v="11200"/>
        <n v="12600"/>
        <n v="13000"/>
        <n v="13050"/>
        <n v="13300"/>
        <n v="13500"/>
        <n v="14000"/>
        <n v="15000"/>
        <n v="15750"/>
        <n v="16500"/>
        <n v="16800"/>
        <n v="17500"/>
        <n v="18200"/>
        <n v="18900"/>
        <n v="19600"/>
        <n v="21000"/>
      </sharedItems>
    </cacheField>
    <cacheField name="Flag" numFmtId="0">
      <sharedItems count="2">
        <s v="Check"/>
        <s v="OK"/>
      </sharedItems>
    </cacheField>
    <cacheField name="Unit Price  (INDEX MATCH)" numFmtId="0">
      <sharedItems containsSemiMixedTypes="0" containsString="0" containsNumber="1" containsInteger="1" minValue="450" maxValue="700" count="3">
        <n v="450"/>
        <n v="500"/>
        <n v="7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2"/>
    <x v="2"/>
    <x v="5"/>
    <x v="2"/>
    <x v="1"/>
    <x v="0"/>
    <x v="6"/>
    <x v="1"/>
    <x v="0"/>
  </r>
  <r>
    <x v="1"/>
    <x v="1"/>
    <x v="1"/>
    <x v="10"/>
    <x v="2"/>
    <x v="2"/>
    <x v="2"/>
    <x v="22"/>
    <x v="1"/>
    <x v="2"/>
  </r>
  <r>
    <x v="2"/>
    <x v="2"/>
    <x v="2"/>
    <x v="4"/>
    <x v="0"/>
    <x v="1"/>
    <x v="0"/>
    <x v="5"/>
    <x v="0"/>
    <x v="0"/>
  </r>
  <r>
    <x v="3"/>
    <x v="2"/>
    <x v="2"/>
    <x v="3"/>
    <x v="0"/>
    <x v="0"/>
    <x v="0"/>
    <x v="4"/>
    <x v="0"/>
    <x v="0"/>
  </r>
  <r>
    <x v="4"/>
    <x v="0"/>
    <x v="0"/>
    <x v="1"/>
    <x v="2"/>
    <x v="2"/>
    <x v="1"/>
    <x v="1"/>
    <x v="0"/>
    <x v="1"/>
  </r>
  <r>
    <x v="5"/>
    <x v="0"/>
    <x v="0"/>
    <x v="22"/>
    <x v="0"/>
    <x v="2"/>
    <x v="1"/>
    <x v="32"/>
    <x v="1"/>
    <x v="1"/>
  </r>
  <r>
    <x v="6"/>
    <x v="2"/>
    <x v="2"/>
    <x v="7"/>
    <x v="0"/>
    <x v="1"/>
    <x v="0"/>
    <x v="9"/>
    <x v="1"/>
    <x v="0"/>
  </r>
  <r>
    <x v="7"/>
    <x v="2"/>
    <x v="2"/>
    <x v="19"/>
    <x v="2"/>
    <x v="0"/>
    <x v="0"/>
    <x v="24"/>
    <x v="1"/>
    <x v="0"/>
  </r>
  <r>
    <x v="8"/>
    <x v="2"/>
    <x v="2"/>
    <x v="12"/>
    <x v="2"/>
    <x v="2"/>
    <x v="0"/>
    <x v="15"/>
    <x v="1"/>
    <x v="0"/>
  </r>
  <r>
    <x v="9"/>
    <x v="2"/>
    <x v="2"/>
    <x v="20"/>
    <x v="1"/>
    <x v="0"/>
    <x v="0"/>
    <x v="26"/>
    <x v="1"/>
    <x v="0"/>
  </r>
  <r>
    <x v="10"/>
    <x v="0"/>
    <x v="0"/>
    <x v="8"/>
    <x v="1"/>
    <x v="2"/>
    <x v="1"/>
    <x v="12"/>
    <x v="1"/>
    <x v="1"/>
  </r>
  <r>
    <x v="11"/>
    <x v="0"/>
    <x v="0"/>
    <x v="17"/>
    <x v="2"/>
    <x v="0"/>
    <x v="1"/>
    <x v="26"/>
    <x v="1"/>
    <x v="1"/>
  </r>
  <r>
    <x v="12"/>
    <x v="1"/>
    <x v="1"/>
    <x v="11"/>
    <x v="2"/>
    <x v="1"/>
    <x v="2"/>
    <x v="25"/>
    <x v="1"/>
    <x v="2"/>
  </r>
  <r>
    <x v="13"/>
    <x v="1"/>
    <x v="1"/>
    <x v="5"/>
    <x v="1"/>
    <x v="2"/>
    <x v="2"/>
    <x v="10"/>
    <x v="1"/>
    <x v="2"/>
  </r>
  <r>
    <x v="14"/>
    <x v="2"/>
    <x v="2"/>
    <x v="13"/>
    <x v="0"/>
    <x v="1"/>
    <x v="0"/>
    <x v="17"/>
    <x v="1"/>
    <x v="0"/>
  </r>
  <r>
    <x v="15"/>
    <x v="1"/>
    <x v="1"/>
    <x v="7"/>
    <x v="0"/>
    <x v="2"/>
    <x v="2"/>
    <x v="20"/>
    <x v="1"/>
    <x v="2"/>
  </r>
  <r>
    <x v="16"/>
    <x v="0"/>
    <x v="0"/>
    <x v="9"/>
    <x v="1"/>
    <x v="2"/>
    <x v="1"/>
    <x v="13"/>
    <x v="1"/>
    <x v="1"/>
  </r>
  <r>
    <x v="17"/>
    <x v="0"/>
    <x v="0"/>
    <x v="4"/>
    <x v="1"/>
    <x v="0"/>
    <x v="1"/>
    <x v="6"/>
    <x v="0"/>
    <x v="1"/>
  </r>
  <r>
    <x v="18"/>
    <x v="1"/>
    <x v="1"/>
    <x v="16"/>
    <x v="2"/>
    <x v="0"/>
    <x v="2"/>
    <x v="33"/>
    <x v="1"/>
    <x v="2"/>
  </r>
  <r>
    <x v="19"/>
    <x v="1"/>
    <x v="1"/>
    <x v="8"/>
    <x v="0"/>
    <x v="0"/>
    <x v="2"/>
    <x v="21"/>
    <x v="1"/>
    <x v="2"/>
  </r>
  <r>
    <x v="20"/>
    <x v="2"/>
    <x v="2"/>
    <x v="2"/>
    <x v="0"/>
    <x v="1"/>
    <x v="0"/>
    <x v="3"/>
    <x v="0"/>
    <x v="0"/>
  </r>
  <r>
    <x v="21"/>
    <x v="0"/>
    <x v="0"/>
    <x v="10"/>
    <x v="2"/>
    <x v="0"/>
    <x v="1"/>
    <x v="15"/>
    <x v="1"/>
    <x v="1"/>
  </r>
  <r>
    <x v="22"/>
    <x v="1"/>
    <x v="1"/>
    <x v="12"/>
    <x v="0"/>
    <x v="1"/>
    <x v="2"/>
    <x v="27"/>
    <x v="1"/>
    <x v="2"/>
  </r>
  <r>
    <x v="23"/>
    <x v="2"/>
    <x v="2"/>
    <x v="9"/>
    <x v="0"/>
    <x v="0"/>
    <x v="0"/>
    <x v="11"/>
    <x v="1"/>
    <x v="0"/>
  </r>
  <r>
    <x v="24"/>
    <x v="0"/>
    <x v="0"/>
    <x v="9"/>
    <x v="2"/>
    <x v="0"/>
    <x v="1"/>
    <x v="13"/>
    <x v="1"/>
    <x v="1"/>
  </r>
  <r>
    <x v="25"/>
    <x v="1"/>
    <x v="1"/>
    <x v="12"/>
    <x v="2"/>
    <x v="2"/>
    <x v="2"/>
    <x v="27"/>
    <x v="1"/>
    <x v="2"/>
  </r>
  <r>
    <x v="26"/>
    <x v="2"/>
    <x v="2"/>
    <x v="14"/>
    <x v="2"/>
    <x v="1"/>
    <x v="0"/>
    <x v="19"/>
    <x v="1"/>
    <x v="0"/>
  </r>
  <r>
    <x v="27"/>
    <x v="1"/>
    <x v="1"/>
    <x v="18"/>
    <x v="0"/>
    <x v="0"/>
    <x v="2"/>
    <x v="35"/>
    <x v="1"/>
    <x v="2"/>
  </r>
  <r>
    <x v="28"/>
    <x v="0"/>
    <x v="0"/>
    <x v="11"/>
    <x v="2"/>
    <x v="2"/>
    <x v="1"/>
    <x v="18"/>
    <x v="1"/>
    <x v="1"/>
  </r>
  <r>
    <x v="29"/>
    <x v="2"/>
    <x v="2"/>
    <x v="11"/>
    <x v="0"/>
    <x v="1"/>
    <x v="0"/>
    <x v="14"/>
    <x v="1"/>
    <x v="0"/>
  </r>
  <r>
    <x v="30"/>
    <x v="1"/>
    <x v="1"/>
    <x v="18"/>
    <x v="1"/>
    <x v="2"/>
    <x v="2"/>
    <x v="35"/>
    <x v="1"/>
    <x v="2"/>
  </r>
  <r>
    <x v="31"/>
    <x v="0"/>
    <x v="0"/>
    <x v="22"/>
    <x v="1"/>
    <x v="2"/>
    <x v="1"/>
    <x v="32"/>
    <x v="1"/>
    <x v="1"/>
  </r>
  <r>
    <x v="32"/>
    <x v="0"/>
    <x v="0"/>
    <x v="5"/>
    <x v="2"/>
    <x v="1"/>
    <x v="1"/>
    <x v="8"/>
    <x v="1"/>
    <x v="1"/>
  </r>
  <r>
    <x v="33"/>
    <x v="0"/>
    <x v="0"/>
    <x v="20"/>
    <x v="0"/>
    <x v="2"/>
    <x v="1"/>
    <x v="28"/>
    <x v="1"/>
    <x v="1"/>
  </r>
  <r>
    <x v="34"/>
    <x v="1"/>
    <x v="1"/>
    <x v="17"/>
    <x v="0"/>
    <x v="0"/>
    <x v="2"/>
    <x v="34"/>
    <x v="1"/>
    <x v="2"/>
  </r>
  <r>
    <x v="35"/>
    <x v="2"/>
    <x v="2"/>
    <x v="11"/>
    <x v="0"/>
    <x v="2"/>
    <x v="0"/>
    <x v="14"/>
    <x v="1"/>
    <x v="0"/>
  </r>
  <r>
    <x v="36"/>
    <x v="2"/>
    <x v="2"/>
    <x v="5"/>
    <x v="0"/>
    <x v="1"/>
    <x v="0"/>
    <x v="6"/>
    <x v="1"/>
    <x v="0"/>
  </r>
  <r>
    <x v="37"/>
    <x v="1"/>
    <x v="1"/>
    <x v="15"/>
    <x v="2"/>
    <x v="0"/>
    <x v="2"/>
    <x v="31"/>
    <x v="1"/>
    <x v="2"/>
  </r>
  <r>
    <x v="38"/>
    <x v="1"/>
    <x v="1"/>
    <x v="6"/>
    <x v="1"/>
    <x v="2"/>
    <x v="2"/>
    <x v="16"/>
    <x v="1"/>
    <x v="2"/>
  </r>
  <r>
    <x v="39"/>
    <x v="2"/>
    <x v="2"/>
    <x v="11"/>
    <x v="0"/>
    <x v="2"/>
    <x v="0"/>
    <x v="14"/>
    <x v="1"/>
    <x v="0"/>
  </r>
  <r>
    <x v="40"/>
    <x v="2"/>
    <x v="2"/>
    <x v="4"/>
    <x v="0"/>
    <x v="0"/>
    <x v="0"/>
    <x v="5"/>
    <x v="0"/>
    <x v="0"/>
  </r>
  <r>
    <x v="41"/>
    <x v="2"/>
    <x v="2"/>
    <x v="22"/>
    <x v="0"/>
    <x v="2"/>
    <x v="0"/>
    <x v="29"/>
    <x v="1"/>
    <x v="0"/>
  </r>
  <r>
    <x v="42"/>
    <x v="0"/>
    <x v="0"/>
    <x v="16"/>
    <x v="2"/>
    <x v="1"/>
    <x v="1"/>
    <x v="23"/>
    <x v="1"/>
    <x v="1"/>
  </r>
  <r>
    <x v="43"/>
    <x v="2"/>
    <x v="2"/>
    <x v="0"/>
    <x v="0"/>
    <x v="0"/>
    <x v="0"/>
    <x v="0"/>
    <x v="0"/>
    <x v="0"/>
  </r>
  <r>
    <x v="44"/>
    <x v="1"/>
    <x v="1"/>
    <x v="1"/>
    <x v="2"/>
    <x v="0"/>
    <x v="2"/>
    <x v="2"/>
    <x v="0"/>
    <x v="2"/>
  </r>
  <r>
    <x v="45"/>
    <x v="1"/>
    <x v="1"/>
    <x v="10"/>
    <x v="2"/>
    <x v="2"/>
    <x v="2"/>
    <x v="22"/>
    <x v="1"/>
    <x v="2"/>
  </r>
  <r>
    <x v="46"/>
    <x v="2"/>
    <x v="2"/>
    <x v="3"/>
    <x v="2"/>
    <x v="1"/>
    <x v="0"/>
    <x v="4"/>
    <x v="0"/>
    <x v="0"/>
  </r>
  <r>
    <x v="47"/>
    <x v="1"/>
    <x v="1"/>
    <x v="2"/>
    <x v="0"/>
    <x v="2"/>
    <x v="2"/>
    <x v="7"/>
    <x v="0"/>
    <x v="2"/>
  </r>
  <r>
    <x v="48"/>
    <x v="0"/>
    <x v="0"/>
    <x v="21"/>
    <x v="0"/>
    <x v="2"/>
    <x v="1"/>
    <x v="30"/>
    <x v="1"/>
    <x v="1"/>
  </r>
  <r>
    <x v="49"/>
    <x v="1"/>
    <x v="1"/>
    <x v="20"/>
    <x v="2"/>
    <x v="1"/>
    <x v="2"/>
    <x v="36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08" applyNumberFormats="0" applyBorderFormats="0" applyFontFormats="0" applyPatternFormats="0" applyAlignmentFormats="0" applyWidthHeightFormats="0" dataCaption="Values" itemPrintTitles="1" indent="0" compact="0" compactData="0">
  <location ref="A3:B7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zoomScaleNormal="100" workbookViewId="0">
      <selection activeCell="E62" sqref="E62"/>
    </sheetView>
  </sheetViews>
  <sheetFormatPr defaultColWidth="8.7109375" defaultRowHeight="15"/>
  <cols>
    <col min="1" max="1" width="24" customWidth="1"/>
    <col min="2" max="2" width="12.7109375" customWidth="1"/>
    <col min="3" max="3" width="17.5703125" customWidth="1"/>
    <col min="5" max="5" width="10.7109375" customWidth="1"/>
    <col min="7" max="7" width="9.7109375" customWidth="1"/>
    <col min="8" max="8" width="11" customWidth="1"/>
    <col min="9" max="9" width="9.7109375" customWidth="1"/>
    <col min="10" max="10" width="24.85546875" customWidth="1"/>
  </cols>
  <sheetData>
    <row r="1" spans="1:10" ht="18.75" customHeight="1">
      <c r="A1" s="1" t="s">
        <v>0</v>
      </c>
      <c r="B1" s="1"/>
      <c r="C1" s="1"/>
      <c r="D1" s="1"/>
      <c r="E1" s="1"/>
      <c r="F1" s="3"/>
      <c r="G1" s="3"/>
      <c r="H1" s="3"/>
      <c r="I1" s="3"/>
      <c r="J1" s="3"/>
    </row>
    <row r="2" spans="1:10">
      <c r="A2" s="1"/>
      <c r="B2" s="1"/>
      <c r="C2" s="1"/>
      <c r="D2" s="1"/>
      <c r="E2" s="1"/>
      <c r="F2" s="3"/>
      <c r="G2" s="3"/>
      <c r="H2" s="3"/>
      <c r="I2" s="3"/>
      <c r="J2" s="3"/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 t="s">
        <v>11</v>
      </c>
      <c r="B5" s="3" t="s">
        <v>12</v>
      </c>
      <c r="C5" s="3" t="s">
        <v>13</v>
      </c>
      <c r="D5" s="3">
        <v>10</v>
      </c>
      <c r="E5" s="2" t="s">
        <v>14</v>
      </c>
      <c r="F5" s="2" t="s">
        <v>15</v>
      </c>
      <c r="G5" s="3">
        <f>IFERROR(VLOOKUP(B5,PriceList!A:C,3,FALSE()),"Not Found")</f>
        <v>450</v>
      </c>
      <c r="H5" s="3">
        <f>G5*D5</f>
        <v>4500</v>
      </c>
      <c r="I5" s="3" t="str">
        <f>IF(D5&gt;=10,"OK","Check")</f>
        <v>OK</v>
      </c>
      <c r="J5" s="3">
        <f>INDEX(PriceList!C:C,MATCH(B5,PriceList!A:A,0))</f>
        <v>450</v>
      </c>
    </row>
    <row r="6" spans="1:10">
      <c r="A6" s="3" t="s">
        <v>16</v>
      </c>
      <c r="B6" s="3" t="s">
        <v>17</v>
      </c>
      <c r="C6" s="3" t="s">
        <v>18</v>
      </c>
      <c r="D6" s="3">
        <v>18</v>
      </c>
      <c r="E6" s="2" t="s">
        <v>14</v>
      </c>
      <c r="F6" s="2" t="s">
        <v>19</v>
      </c>
      <c r="G6" s="3">
        <f>IFERROR(VLOOKUP(B6,PriceList!A:C,3,FALSE()),"Not Found")</f>
        <v>700</v>
      </c>
      <c r="H6" s="3">
        <f>G6*D6</f>
        <v>12600</v>
      </c>
      <c r="I6" s="3" t="str">
        <f>IF(D6&gt;=10,"OK","Check")</f>
        <v>OK</v>
      </c>
      <c r="J6" s="3">
        <f>INDEX(PriceList!C:C,MATCH(B6,PriceList!A:A,0))</f>
        <v>700</v>
      </c>
    </row>
    <row r="7" spans="1:10">
      <c r="A7" s="3" t="s">
        <v>20</v>
      </c>
      <c r="B7" s="3" t="s">
        <v>12</v>
      </c>
      <c r="C7" s="3" t="s">
        <v>13</v>
      </c>
      <c r="D7" s="3">
        <v>9</v>
      </c>
      <c r="E7" s="2" t="s">
        <v>21</v>
      </c>
      <c r="F7" s="2" t="s">
        <v>15</v>
      </c>
      <c r="G7" s="3">
        <f>IFERROR(VLOOKUP(B7,PriceList!A:C,3,FALSE()),"Not Found")</f>
        <v>450</v>
      </c>
      <c r="H7" s="3">
        <f>G7*D7</f>
        <v>4050</v>
      </c>
      <c r="I7" s="3" t="str">
        <f>IF(D7&gt;=10,"OK","Check")</f>
        <v>Check</v>
      </c>
      <c r="J7" s="3">
        <f>INDEX(PriceList!C:C,MATCH(B7,PriceList!A:A,0))</f>
        <v>450</v>
      </c>
    </row>
    <row r="8" spans="1:10">
      <c r="A8" s="3" t="s">
        <v>22</v>
      </c>
      <c r="B8" s="3" t="s">
        <v>12</v>
      </c>
      <c r="C8" s="3" t="s">
        <v>13</v>
      </c>
      <c r="D8" s="3">
        <v>8</v>
      </c>
      <c r="E8" s="2" t="s">
        <v>21</v>
      </c>
      <c r="F8" s="2" t="s">
        <v>23</v>
      </c>
      <c r="G8" s="3">
        <f>IFERROR(VLOOKUP(B8,PriceList!A:C,3,FALSE()),"Not Found")</f>
        <v>450</v>
      </c>
      <c r="H8" s="3">
        <f>G8*D8</f>
        <v>3600</v>
      </c>
      <c r="I8" s="3" t="str">
        <f>IF(D8&gt;=10,"OK","Check")</f>
        <v>Check</v>
      </c>
      <c r="J8" s="3">
        <f>INDEX(PriceList!C:C,MATCH(B8,PriceList!A:A,0))</f>
        <v>450</v>
      </c>
    </row>
    <row r="9" spans="1:10">
      <c r="A9" s="3" t="s">
        <v>24</v>
      </c>
      <c r="B9" s="3" t="s">
        <v>25</v>
      </c>
      <c r="C9" s="3" t="s">
        <v>26</v>
      </c>
      <c r="D9" s="3">
        <v>4</v>
      </c>
      <c r="E9" s="2" t="s">
        <v>14</v>
      </c>
      <c r="F9" s="2" t="s">
        <v>19</v>
      </c>
      <c r="G9" s="3">
        <f>IFERROR(VLOOKUP(B9,PriceList!A:C,3,FALSE()),"Not Found")</f>
        <v>500</v>
      </c>
      <c r="H9" s="3">
        <f>G9*D9</f>
        <v>2000</v>
      </c>
      <c r="I9" s="3" t="str">
        <f>IF(D9&gt;=10,"OK","Check")</f>
        <v>Check</v>
      </c>
      <c r="J9" s="3">
        <f>INDEX(PriceList!C:C,MATCH(B9,PriceList!A:A,0))</f>
        <v>500</v>
      </c>
    </row>
    <row r="10" spans="1:10">
      <c r="A10" s="3" t="s">
        <v>27</v>
      </c>
      <c r="B10" s="3" t="s">
        <v>25</v>
      </c>
      <c r="C10" s="3" t="s">
        <v>26</v>
      </c>
      <c r="D10" s="3">
        <v>35</v>
      </c>
      <c r="E10" s="2" t="s">
        <v>21</v>
      </c>
      <c r="F10" s="2" t="s">
        <v>19</v>
      </c>
      <c r="G10" s="3">
        <f>IFERROR(VLOOKUP(B10,PriceList!A:C,3,FALSE()),"Not Found")</f>
        <v>500</v>
      </c>
      <c r="H10" s="3">
        <f>G10*D10</f>
        <v>17500</v>
      </c>
      <c r="I10" s="3" t="str">
        <f>IF(D10&gt;=10,"OK","Check")</f>
        <v>OK</v>
      </c>
      <c r="J10" s="3">
        <f>INDEX(PriceList!C:C,MATCH(B10,PriceList!A:A,0))</f>
        <v>500</v>
      </c>
    </row>
    <row r="11" spans="1:10">
      <c r="A11" s="3" t="s">
        <v>28</v>
      </c>
      <c r="B11" s="3" t="s">
        <v>12</v>
      </c>
      <c r="C11" s="3" t="s">
        <v>13</v>
      </c>
      <c r="D11" s="3">
        <v>15</v>
      </c>
      <c r="E11" s="2" t="s">
        <v>21</v>
      </c>
      <c r="F11" s="2" t="s">
        <v>15</v>
      </c>
      <c r="G11" s="3">
        <f>IFERROR(VLOOKUP(B11,PriceList!A:C,3,FALSE()),"Not Found")</f>
        <v>450</v>
      </c>
      <c r="H11" s="3">
        <f>G11*D11</f>
        <v>6750</v>
      </c>
      <c r="I11" s="3" t="str">
        <f>IF(D11&gt;=10,"OK","Check")</f>
        <v>OK</v>
      </c>
      <c r="J11" s="3">
        <f>INDEX(PriceList!C:C,MATCH(B11,PriceList!A:A,0))</f>
        <v>450</v>
      </c>
    </row>
    <row r="12" spans="1:10">
      <c r="A12" s="3" t="s">
        <v>29</v>
      </c>
      <c r="B12" s="3" t="s">
        <v>12</v>
      </c>
      <c r="C12" s="3" t="s">
        <v>13</v>
      </c>
      <c r="D12" s="3">
        <v>29</v>
      </c>
      <c r="E12" s="2" t="s">
        <v>14</v>
      </c>
      <c r="F12" s="2" t="s">
        <v>23</v>
      </c>
      <c r="G12" s="3">
        <f>IFERROR(VLOOKUP(B12,PriceList!A:C,3,FALSE()),"Not Found")</f>
        <v>450</v>
      </c>
      <c r="H12" s="3">
        <f>G12*D12</f>
        <v>13050</v>
      </c>
      <c r="I12" s="3" t="str">
        <f>IF(D12&gt;=10,"OK","Check")</f>
        <v>OK</v>
      </c>
      <c r="J12" s="3">
        <f>INDEX(PriceList!C:C,MATCH(B12,PriceList!A:A,0))</f>
        <v>450</v>
      </c>
    </row>
    <row r="13" spans="1:10">
      <c r="A13" s="3" t="s">
        <v>30</v>
      </c>
      <c r="B13" s="3" t="s">
        <v>12</v>
      </c>
      <c r="C13" s="3" t="s">
        <v>13</v>
      </c>
      <c r="D13" s="3">
        <v>20</v>
      </c>
      <c r="E13" s="2" t="s">
        <v>14</v>
      </c>
      <c r="F13" s="2" t="s">
        <v>19</v>
      </c>
      <c r="G13" s="3">
        <f>IFERROR(VLOOKUP(B13,PriceList!A:C,3,FALSE()),"Not Found")</f>
        <v>450</v>
      </c>
      <c r="H13" s="3">
        <f>G13*D13</f>
        <v>9000</v>
      </c>
      <c r="I13" s="3" t="str">
        <f>IF(D13&gt;=10,"OK","Check")</f>
        <v>OK</v>
      </c>
      <c r="J13" s="3">
        <f>INDEX(PriceList!C:C,MATCH(B13,PriceList!A:A,0))</f>
        <v>450</v>
      </c>
    </row>
    <row r="14" spans="1:10">
      <c r="A14" s="3" t="s">
        <v>31</v>
      </c>
      <c r="B14" s="3" t="s">
        <v>12</v>
      </c>
      <c r="C14" s="3" t="s">
        <v>13</v>
      </c>
      <c r="D14" s="3">
        <v>30</v>
      </c>
      <c r="E14" s="2" t="s">
        <v>32</v>
      </c>
      <c r="F14" s="2" t="s">
        <v>23</v>
      </c>
      <c r="G14" s="3">
        <f>IFERROR(VLOOKUP(B14,PriceList!A:C,3,FALSE()),"Not Found")</f>
        <v>450</v>
      </c>
      <c r="H14" s="3">
        <f>G14*D14</f>
        <v>13500</v>
      </c>
      <c r="I14" s="3" t="str">
        <f>IF(D14&gt;=10,"OK","Check")</f>
        <v>OK</v>
      </c>
      <c r="J14" s="3">
        <f>INDEX(PriceList!C:C,MATCH(B14,PriceList!A:A,0))</f>
        <v>450</v>
      </c>
    </row>
    <row r="15" spans="1:10">
      <c r="A15" s="3" t="s">
        <v>33</v>
      </c>
      <c r="B15" s="3" t="s">
        <v>25</v>
      </c>
      <c r="C15" s="3" t="s">
        <v>26</v>
      </c>
      <c r="D15" s="3">
        <v>16</v>
      </c>
      <c r="E15" s="2" t="s">
        <v>32</v>
      </c>
      <c r="F15" s="2" t="s">
        <v>19</v>
      </c>
      <c r="G15" s="3">
        <f>IFERROR(VLOOKUP(B15,PriceList!A:C,3,FALSE()),"Not Found")</f>
        <v>500</v>
      </c>
      <c r="H15" s="3">
        <f>G15*D15</f>
        <v>8000</v>
      </c>
      <c r="I15" s="3" t="str">
        <f>IF(D15&gt;=10,"OK","Check")</f>
        <v>OK</v>
      </c>
      <c r="J15" s="3">
        <f>INDEX(PriceList!C:C,MATCH(B15,PriceList!A:A,0))</f>
        <v>500</v>
      </c>
    </row>
    <row r="16" spans="1:10">
      <c r="A16" s="3" t="s">
        <v>34</v>
      </c>
      <c r="B16" s="3" t="s">
        <v>25</v>
      </c>
      <c r="C16" s="3" t="s">
        <v>26</v>
      </c>
      <c r="D16" s="3">
        <v>27</v>
      </c>
      <c r="E16" s="2" t="s">
        <v>14</v>
      </c>
      <c r="F16" s="2" t="s">
        <v>23</v>
      </c>
      <c r="G16" s="3">
        <f>IFERROR(VLOOKUP(B16,PriceList!A:C,3,FALSE()),"Not Found")</f>
        <v>500</v>
      </c>
      <c r="H16" s="3">
        <f>G16*D16</f>
        <v>13500</v>
      </c>
      <c r="I16" s="3" t="str">
        <f>IF(D16&gt;=10,"OK","Check")</f>
        <v>OK</v>
      </c>
      <c r="J16" s="3">
        <f>INDEX(PriceList!C:C,MATCH(B16,PriceList!A:A,0))</f>
        <v>500</v>
      </c>
    </row>
    <row r="17" spans="1:10">
      <c r="A17" s="3" t="s">
        <v>35</v>
      </c>
      <c r="B17" s="3" t="s">
        <v>17</v>
      </c>
      <c r="C17" s="3" t="s">
        <v>18</v>
      </c>
      <c r="D17" s="3">
        <v>19</v>
      </c>
      <c r="E17" s="2" t="s">
        <v>14</v>
      </c>
      <c r="F17" s="2" t="s">
        <v>15</v>
      </c>
      <c r="G17" s="3">
        <f>IFERROR(VLOOKUP(B17,PriceList!A:C,3,FALSE()),"Not Found")</f>
        <v>700</v>
      </c>
      <c r="H17" s="3">
        <f>G17*D17</f>
        <v>13300</v>
      </c>
      <c r="I17" s="3" t="str">
        <f>IF(D17&gt;=10,"OK","Check")</f>
        <v>OK</v>
      </c>
      <c r="J17" s="3">
        <f>INDEX(PriceList!C:C,MATCH(B17,PriceList!A:A,0))</f>
        <v>700</v>
      </c>
    </row>
    <row r="18" spans="1:10">
      <c r="A18" s="3" t="s">
        <v>36</v>
      </c>
      <c r="B18" s="3" t="s">
        <v>17</v>
      </c>
      <c r="C18" s="3" t="s">
        <v>18</v>
      </c>
      <c r="D18" s="3">
        <v>10</v>
      </c>
      <c r="E18" s="2" t="s">
        <v>32</v>
      </c>
      <c r="F18" s="2" t="s">
        <v>19</v>
      </c>
      <c r="G18" s="3">
        <f>IFERROR(VLOOKUP(B18,PriceList!A:C,3,FALSE()),"Not Found")</f>
        <v>700</v>
      </c>
      <c r="H18" s="3">
        <f>G18*D18</f>
        <v>7000</v>
      </c>
      <c r="I18" s="3" t="str">
        <f>IF(D18&gt;=10,"OK","Check")</f>
        <v>OK</v>
      </c>
      <c r="J18" s="3">
        <f>INDEX(PriceList!C:C,MATCH(B18,PriceList!A:A,0))</f>
        <v>700</v>
      </c>
    </row>
    <row r="19" spans="1:10">
      <c r="A19" s="3" t="s">
        <v>37</v>
      </c>
      <c r="B19" s="3" t="s">
        <v>12</v>
      </c>
      <c r="C19" s="3" t="s">
        <v>13</v>
      </c>
      <c r="D19" s="3">
        <v>21</v>
      </c>
      <c r="E19" s="2" t="s">
        <v>21</v>
      </c>
      <c r="F19" s="2" t="s">
        <v>15</v>
      </c>
      <c r="G19" s="3">
        <f>IFERROR(VLOOKUP(B19,PriceList!A:C,3,FALSE()),"Not Found")</f>
        <v>450</v>
      </c>
      <c r="H19" s="3">
        <f>G19*D19</f>
        <v>9450</v>
      </c>
      <c r="I19" s="3" t="str">
        <f>IF(D19&gt;=10,"OK","Check")</f>
        <v>OK</v>
      </c>
      <c r="J19" s="3">
        <f>INDEX(PriceList!C:C,MATCH(B19,PriceList!A:A,0))</f>
        <v>450</v>
      </c>
    </row>
    <row r="20" spans="1:10">
      <c r="A20" s="3" t="s">
        <v>38</v>
      </c>
      <c r="B20" s="3" t="s">
        <v>17</v>
      </c>
      <c r="C20" s="3" t="s">
        <v>18</v>
      </c>
      <c r="D20" s="3">
        <v>15</v>
      </c>
      <c r="E20" s="2" t="s">
        <v>21</v>
      </c>
      <c r="F20" s="2" t="s">
        <v>19</v>
      </c>
      <c r="G20" s="3">
        <f>IFERROR(VLOOKUP(B20,PriceList!A:C,3,FALSE()),"Not Found")</f>
        <v>700</v>
      </c>
      <c r="H20" s="3">
        <f>G20*D20</f>
        <v>10500</v>
      </c>
      <c r="I20" s="3" t="str">
        <f>IF(D20&gt;=10,"OK","Check")</f>
        <v>OK</v>
      </c>
      <c r="J20" s="3">
        <f>INDEX(PriceList!C:C,MATCH(B20,PriceList!A:A,0))</f>
        <v>700</v>
      </c>
    </row>
    <row r="21" spans="1:10">
      <c r="A21" s="3" t="s">
        <v>39</v>
      </c>
      <c r="B21" s="3" t="s">
        <v>25</v>
      </c>
      <c r="C21" s="3" t="s">
        <v>26</v>
      </c>
      <c r="D21" s="3">
        <v>17</v>
      </c>
      <c r="E21" s="2" t="s">
        <v>32</v>
      </c>
      <c r="F21" s="2" t="s">
        <v>19</v>
      </c>
      <c r="G21" s="3">
        <f>IFERROR(VLOOKUP(B21,PriceList!A:C,3,FALSE()),"Not Found")</f>
        <v>500</v>
      </c>
      <c r="H21" s="3">
        <f>G21*D21</f>
        <v>8500</v>
      </c>
      <c r="I21" s="3" t="str">
        <f>IF(D21&gt;=10,"OK","Check")</f>
        <v>OK</v>
      </c>
      <c r="J21" s="3">
        <f>INDEX(PriceList!C:C,MATCH(B21,PriceList!A:A,0))</f>
        <v>500</v>
      </c>
    </row>
    <row r="22" spans="1:10">
      <c r="A22" s="3" t="s">
        <v>40</v>
      </c>
      <c r="B22" s="3" t="s">
        <v>25</v>
      </c>
      <c r="C22" s="3" t="s">
        <v>26</v>
      </c>
      <c r="D22" s="3">
        <v>9</v>
      </c>
      <c r="E22" s="2" t="s">
        <v>32</v>
      </c>
      <c r="F22" s="2" t="s">
        <v>23</v>
      </c>
      <c r="G22" s="3">
        <f>IFERROR(VLOOKUP(B22,PriceList!A:C,3,FALSE()),"Not Found")</f>
        <v>500</v>
      </c>
      <c r="H22" s="3">
        <f>G22*D22</f>
        <v>4500</v>
      </c>
      <c r="I22" s="3" t="str">
        <f>IF(D22&gt;=10,"OK","Check")</f>
        <v>Check</v>
      </c>
      <c r="J22" s="3">
        <f>INDEX(PriceList!C:C,MATCH(B22,PriceList!A:A,0))</f>
        <v>500</v>
      </c>
    </row>
    <row r="23" spans="1:10">
      <c r="A23" s="3" t="s">
        <v>41</v>
      </c>
      <c r="B23" s="3" t="s">
        <v>17</v>
      </c>
      <c r="C23" s="3" t="s">
        <v>18</v>
      </c>
      <c r="D23" s="3">
        <v>26</v>
      </c>
      <c r="E23" s="2" t="s">
        <v>14</v>
      </c>
      <c r="F23" s="2" t="s">
        <v>23</v>
      </c>
      <c r="G23" s="3">
        <f>IFERROR(VLOOKUP(B23,PriceList!A:C,3,FALSE()),"Not Found")</f>
        <v>700</v>
      </c>
      <c r="H23" s="3">
        <f>G23*D23</f>
        <v>18200</v>
      </c>
      <c r="I23" s="3" t="str">
        <f>IF(D23&gt;=10,"OK","Check")</f>
        <v>OK</v>
      </c>
      <c r="J23" s="3">
        <f>INDEX(PriceList!C:C,MATCH(B23,PriceList!A:A,0))</f>
        <v>700</v>
      </c>
    </row>
    <row r="24" spans="1:10">
      <c r="A24" s="3" t="s">
        <v>42</v>
      </c>
      <c r="B24" s="3" t="s">
        <v>17</v>
      </c>
      <c r="C24" s="3" t="s">
        <v>18</v>
      </c>
      <c r="D24" s="3">
        <v>16</v>
      </c>
      <c r="E24" s="2" t="s">
        <v>21</v>
      </c>
      <c r="F24" s="2" t="s">
        <v>23</v>
      </c>
      <c r="G24" s="3">
        <f>IFERROR(VLOOKUP(B24,PriceList!A:C,3,FALSE()),"Not Found")</f>
        <v>700</v>
      </c>
      <c r="H24" s="3">
        <f>G24*D24</f>
        <v>11200</v>
      </c>
      <c r="I24" s="3" t="str">
        <f>IF(D24&gt;=10,"OK","Check")</f>
        <v>OK</v>
      </c>
      <c r="J24" s="3">
        <f>INDEX(PriceList!C:C,MATCH(B24,PriceList!A:A,0))</f>
        <v>700</v>
      </c>
    </row>
    <row r="25" spans="1:10">
      <c r="A25" s="3" t="s">
        <v>43</v>
      </c>
      <c r="B25" s="3" t="s">
        <v>12</v>
      </c>
      <c r="C25" s="3" t="s">
        <v>13</v>
      </c>
      <c r="D25" s="3">
        <v>7</v>
      </c>
      <c r="E25" s="2" t="s">
        <v>21</v>
      </c>
      <c r="F25" s="2" t="s">
        <v>15</v>
      </c>
      <c r="G25" s="3">
        <f>IFERROR(VLOOKUP(B25,PriceList!A:C,3,FALSE()),"Not Found")</f>
        <v>450</v>
      </c>
      <c r="H25" s="3">
        <f>G25*D25</f>
        <v>3150</v>
      </c>
      <c r="I25" s="3" t="str">
        <f>IF(D25&gt;=10,"OK","Check")</f>
        <v>Check</v>
      </c>
      <c r="J25" s="3">
        <f>INDEX(PriceList!C:C,MATCH(B25,PriceList!A:A,0))</f>
        <v>450</v>
      </c>
    </row>
    <row r="26" spans="1:10">
      <c r="A26" s="3" t="s">
        <v>44</v>
      </c>
      <c r="B26" s="3" t="s">
        <v>25</v>
      </c>
      <c r="C26" s="3" t="s">
        <v>26</v>
      </c>
      <c r="D26" s="3">
        <v>18</v>
      </c>
      <c r="E26" s="2" t="s">
        <v>14</v>
      </c>
      <c r="F26" s="2" t="s">
        <v>23</v>
      </c>
      <c r="G26" s="3">
        <f>IFERROR(VLOOKUP(B26,PriceList!A:C,3,FALSE()),"Not Found")</f>
        <v>500</v>
      </c>
      <c r="H26" s="3">
        <f>G26*D26</f>
        <v>9000</v>
      </c>
      <c r="I26" s="3" t="str">
        <f>IF(D26&gt;=10,"OK","Check")</f>
        <v>OK</v>
      </c>
      <c r="J26" s="3">
        <f>INDEX(PriceList!C:C,MATCH(B26,PriceList!A:A,0))</f>
        <v>500</v>
      </c>
    </row>
    <row r="27" spans="1:10">
      <c r="A27" s="3" t="s">
        <v>45</v>
      </c>
      <c r="B27" s="3" t="s">
        <v>17</v>
      </c>
      <c r="C27" s="3" t="s">
        <v>18</v>
      </c>
      <c r="D27" s="3">
        <v>20</v>
      </c>
      <c r="E27" s="2" t="s">
        <v>21</v>
      </c>
      <c r="F27" s="2" t="s">
        <v>15</v>
      </c>
      <c r="G27" s="3">
        <f>IFERROR(VLOOKUP(B27,PriceList!A:C,3,FALSE()),"Not Found")</f>
        <v>700</v>
      </c>
      <c r="H27" s="3">
        <f>G27*D27</f>
        <v>14000</v>
      </c>
      <c r="I27" s="3" t="str">
        <f>IF(D27&gt;=10,"OK","Check")</f>
        <v>OK</v>
      </c>
      <c r="J27" s="3">
        <f>INDEX(PriceList!C:C,MATCH(B27,PriceList!A:A,0))</f>
        <v>700</v>
      </c>
    </row>
    <row r="28" spans="1:10">
      <c r="A28" s="3" t="s">
        <v>46</v>
      </c>
      <c r="B28" s="3" t="s">
        <v>12</v>
      </c>
      <c r="C28" s="3" t="s">
        <v>13</v>
      </c>
      <c r="D28" s="3">
        <v>17</v>
      </c>
      <c r="E28" s="2" t="s">
        <v>21</v>
      </c>
      <c r="F28" s="2" t="s">
        <v>23</v>
      </c>
      <c r="G28" s="3">
        <f>IFERROR(VLOOKUP(B28,PriceList!A:C,3,FALSE()),"Not Found")</f>
        <v>450</v>
      </c>
      <c r="H28" s="3">
        <f>G28*D28</f>
        <v>7650</v>
      </c>
      <c r="I28" s="3" t="str">
        <f>IF(D28&gt;=10,"OK","Check")</f>
        <v>OK</v>
      </c>
      <c r="J28" s="3">
        <f>INDEX(PriceList!C:C,MATCH(B28,PriceList!A:A,0))</f>
        <v>450</v>
      </c>
    </row>
    <row r="29" spans="1:10">
      <c r="A29" s="3" t="s">
        <v>47</v>
      </c>
      <c r="B29" s="3" t="s">
        <v>25</v>
      </c>
      <c r="C29" s="3" t="s">
        <v>26</v>
      </c>
      <c r="D29" s="3">
        <v>17</v>
      </c>
      <c r="E29" s="2" t="s">
        <v>14</v>
      </c>
      <c r="F29" s="2" t="s">
        <v>23</v>
      </c>
      <c r="G29" s="3">
        <f>IFERROR(VLOOKUP(B29,PriceList!A:C,3,FALSE()),"Not Found")</f>
        <v>500</v>
      </c>
      <c r="H29" s="3">
        <f>G29*D29</f>
        <v>8500</v>
      </c>
      <c r="I29" s="3" t="str">
        <f>IF(D29&gt;=10,"OK","Check")</f>
        <v>OK</v>
      </c>
      <c r="J29" s="3">
        <f>INDEX(PriceList!C:C,MATCH(B29,PriceList!A:A,0))</f>
        <v>500</v>
      </c>
    </row>
    <row r="30" spans="1:10">
      <c r="A30" s="3" t="s">
        <v>48</v>
      </c>
      <c r="B30" s="3" t="s">
        <v>17</v>
      </c>
      <c r="C30" s="3" t="s">
        <v>18</v>
      </c>
      <c r="D30" s="3">
        <v>20</v>
      </c>
      <c r="E30" s="2" t="s">
        <v>14</v>
      </c>
      <c r="F30" s="2" t="s">
        <v>19</v>
      </c>
      <c r="G30" s="3">
        <f>IFERROR(VLOOKUP(B30,PriceList!A:C,3,FALSE()),"Not Found")</f>
        <v>700</v>
      </c>
      <c r="H30" s="3">
        <f>G30*D30</f>
        <v>14000</v>
      </c>
      <c r="I30" s="3" t="str">
        <f>IF(D30&gt;=10,"OK","Check")</f>
        <v>OK</v>
      </c>
      <c r="J30" s="3">
        <f>INDEX(PriceList!C:C,MATCH(B30,PriceList!A:A,0))</f>
        <v>700</v>
      </c>
    </row>
    <row r="31" spans="1:10">
      <c r="A31" s="3" t="s">
        <v>49</v>
      </c>
      <c r="B31" s="3" t="s">
        <v>12</v>
      </c>
      <c r="C31" s="3" t="s">
        <v>13</v>
      </c>
      <c r="D31" s="3">
        <v>23</v>
      </c>
      <c r="E31" s="2" t="s">
        <v>14</v>
      </c>
      <c r="F31" s="2" t="s">
        <v>15</v>
      </c>
      <c r="G31" s="3">
        <f>IFERROR(VLOOKUP(B31,PriceList!A:C,3,FALSE()),"Not Found")</f>
        <v>450</v>
      </c>
      <c r="H31" s="3">
        <f>G31*D31</f>
        <v>10350</v>
      </c>
      <c r="I31" s="3" t="str">
        <f>IF(D31&gt;=10,"OK","Check")</f>
        <v>OK</v>
      </c>
      <c r="J31" s="3">
        <f>INDEX(PriceList!C:C,MATCH(B31,PriceList!A:A,0))</f>
        <v>450</v>
      </c>
    </row>
    <row r="32" spans="1:10">
      <c r="A32" s="3" t="s">
        <v>50</v>
      </c>
      <c r="B32" s="3" t="s">
        <v>17</v>
      </c>
      <c r="C32" s="3" t="s">
        <v>18</v>
      </c>
      <c r="D32" s="3">
        <v>28</v>
      </c>
      <c r="E32" s="2" t="s">
        <v>21</v>
      </c>
      <c r="F32" s="2" t="s">
        <v>23</v>
      </c>
      <c r="G32" s="3">
        <f>IFERROR(VLOOKUP(B32,PriceList!A:C,3,FALSE()),"Not Found")</f>
        <v>700</v>
      </c>
      <c r="H32" s="3">
        <f>G32*D32</f>
        <v>19600</v>
      </c>
      <c r="I32" s="3" t="str">
        <f>IF(D32&gt;=10,"OK","Check")</f>
        <v>OK</v>
      </c>
      <c r="J32" s="3">
        <f>INDEX(PriceList!C:C,MATCH(B32,PriceList!A:A,0))</f>
        <v>700</v>
      </c>
    </row>
    <row r="33" spans="1:10">
      <c r="A33" s="3" t="s">
        <v>51</v>
      </c>
      <c r="B33" s="3" t="s">
        <v>25</v>
      </c>
      <c r="C33" s="3" t="s">
        <v>26</v>
      </c>
      <c r="D33" s="3">
        <v>19</v>
      </c>
      <c r="E33" s="2" t="s">
        <v>14</v>
      </c>
      <c r="F33" s="2" t="s">
        <v>19</v>
      </c>
      <c r="G33" s="3">
        <f>IFERROR(VLOOKUP(B33,PriceList!A:C,3,FALSE()),"Not Found")</f>
        <v>500</v>
      </c>
      <c r="H33" s="3">
        <f>G33*D33</f>
        <v>9500</v>
      </c>
      <c r="I33" s="3" t="str">
        <f>IF(D33&gt;=10,"OK","Check")</f>
        <v>OK</v>
      </c>
      <c r="J33" s="3">
        <f>INDEX(PriceList!C:C,MATCH(B33,PriceList!A:A,0))</f>
        <v>500</v>
      </c>
    </row>
    <row r="34" spans="1:10">
      <c r="A34" s="3" t="s">
        <v>52</v>
      </c>
      <c r="B34" s="3" t="s">
        <v>12</v>
      </c>
      <c r="C34" s="3" t="s">
        <v>13</v>
      </c>
      <c r="D34" s="3">
        <v>19</v>
      </c>
      <c r="E34" s="2" t="s">
        <v>21</v>
      </c>
      <c r="F34" s="2" t="s">
        <v>15</v>
      </c>
      <c r="G34" s="3">
        <f>IFERROR(VLOOKUP(B34,PriceList!A:C,3,FALSE()),"Not Found")</f>
        <v>450</v>
      </c>
      <c r="H34" s="3">
        <f>G34*D34</f>
        <v>8550</v>
      </c>
      <c r="I34" s="3" t="str">
        <f>IF(D34&gt;=10,"OK","Check")</f>
        <v>OK</v>
      </c>
      <c r="J34" s="3">
        <f>INDEX(PriceList!C:C,MATCH(B34,PriceList!A:A,0))</f>
        <v>450</v>
      </c>
    </row>
    <row r="35" spans="1:10">
      <c r="A35" s="3" t="s">
        <v>53</v>
      </c>
      <c r="B35" s="3" t="s">
        <v>17</v>
      </c>
      <c r="C35" s="3" t="s">
        <v>18</v>
      </c>
      <c r="D35" s="3">
        <v>28</v>
      </c>
      <c r="E35" s="2" t="s">
        <v>32</v>
      </c>
      <c r="F35" s="2" t="s">
        <v>19</v>
      </c>
      <c r="G35" s="3">
        <f>IFERROR(VLOOKUP(B35,PriceList!A:C,3,FALSE()),"Not Found")</f>
        <v>700</v>
      </c>
      <c r="H35" s="3">
        <f>G35*D35</f>
        <v>19600</v>
      </c>
      <c r="I35" s="3" t="str">
        <f>IF(D35&gt;=10,"OK","Check")</f>
        <v>OK</v>
      </c>
      <c r="J35" s="3">
        <f>INDEX(PriceList!C:C,MATCH(B35,PriceList!A:A,0))</f>
        <v>700</v>
      </c>
    </row>
    <row r="36" spans="1:10">
      <c r="A36" s="3" t="s">
        <v>54</v>
      </c>
      <c r="B36" s="3" t="s">
        <v>25</v>
      </c>
      <c r="C36" s="3" t="s">
        <v>26</v>
      </c>
      <c r="D36" s="3">
        <v>35</v>
      </c>
      <c r="E36" s="2" t="s">
        <v>32</v>
      </c>
      <c r="F36" s="2" t="s">
        <v>19</v>
      </c>
      <c r="G36" s="3">
        <f>IFERROR(VLOOKUP(B36,PriceList!A:C,3,FALSE()),"Not Found")</f>
        <v>500</v>
      </c>
      <c r="H36" s="3">
        <f>G36*D36</f>
        <v>17500</v>
      </c>
      <c r="I36" s="3" t="str">
        <f>IF(D36&gt;=10,"OK","Check")</f>
        <v>OK</v>
      </c>
      <c r="J36" s="3">
        <f>INDEX(PriceList!C:C,MATCH(B36,PriceList!A:A,0))</f>
        <v>500</v>
      </c>
    </row>
    <row r="37" spans="1:10">
      <c r="A37" s="3" t="s">
        <v>55</v>
      </c>
      <c r="B37" s="3" t="s">
        <v>25</v>
      </c>
      <c r="C37" s="3" t="s">
        <v>26</v>
      </c>
      <c r="D37" s="3">
        <v>10</v>
      </c>
      <c r="E37" s="2" t="s">
        <v>14</v>
      </c>
      <c r="F37" s="2" t="s">
        <v>15</v>
      </c>
      <c r="G37" s="3">
        <f>IFERROR(VLOOKUP(B37,PriceList!A:C,3,FALSE()),"Not Found")</f>
        <v>500</v>
      </c>
      <c r="H37" s="3">
        <f>G37*D37</f>
        <v>5000</v>
      </c>
      <c r="I37" s="3" t="str">
        <f>IF(D37&gt;=10,"OK","Check")</f>
        <v>OK</v>
      </c>
      <c r="J37" s="3">
        <f>INDEX(PriceList!C:C,MATCH(B37,PriceList!A:A,0))</f>
        <v>500</v>
      </c>
    </row>
    <row r="38" spans="1:10">
      <c r="A38" s="3" t="s">
        <v>56</v>
      </c>
      <c r="B38" s="3" t="s">
        <v>25</v>
      </c>
      <c r="C38" s="3" t="s">
        <v>26</v>
      </c>
      <c r="D38" s="3">
        <v>30</v>
      </c>
      <c r="E38" s="2" t="s">
        <v>21</v>
      </c>
      <c r="F38" s="2" t="s">
        <v>19</v>
      </c>
      <c r="G38" s="3">
        <f>IFERROR(VLOOKUP(B38,PriceList!A:C,3,FALSE()),"Not Found")</f>
        <v>500</v>
      </c>
      <c r="H38" s="3">
        <f>G38*D38</f>
        <v>15000</v>
      </c>
      <c r="I38" s="3" t="str">
        <f>IF(D38&gt;=10,"OK","Check")</f>
        <v>OK</v>
      </c>
      <c r="J38" s="3">
        <f>INDEX(PriceList!C:C,MATCH(B38,PriceList!A:A,0))</f>
        <v>500</v>
      </c>
    </row>
    <row r="39" spans="1:10">
      <c r="A39" s="3" t="s">
        <v>57</v>
      </c>
      <c r="B39" s="3" t="s">
        <v>17</v>
      </c>
      <c r="C39" s="3" t="s">
        <v>18</v>
      </c>
      <c r="D39" s="3">
        <v>27</v>
      </c>
      <c r="E39" s="2" t="s">
        <v>21</v>
      </c>
      <c r="F39" s="2" t="s">
        <v>23</v>
      </c>
      <c r="G39" s="3">
        <f>IFERROR(VLOOKUP(B39,PriceList!A:C,3,FALSE()),"Not Found")</f>
        <v>700</v>
      </c>
      <c r="H39" s="3">
        <f>G39*D39</f>
        <v>18900</v>
      </c>
      <c r="I39" s="3" t="str">
        <f>IF(D39&gt;=10,"OK","Check")</f>
        <v>OK</v>
      </c>
      <c r="J39" s="3">
        <f>INDEX(PriceList!C:C,MATCH(B39,PriceList!A:A,0))</f>
        <v>700</v>
      </c>
    </row>
    <row r="40" spans="1:10">
      <c r="A40" s="3" t="s">
        <v>58</v>
      </c>
      <c r="B40" s="3" t="s">
        <v>12</v>
      </c>
      <c r="C40" s="3" t="s">
        <v>13</v>
      </c>
      <c r="D40" s="3">
        <v>19</v>
      </c>
      <c r="E40" s="2" t="s">
        <v>21</v>
      </c>
      <c r="F40" s="2" t="s">
        <v>19</v>
      </c>
      <c r="G40" s="3">
        <f>IFERROR(VLOOKUP(B40,PriceList!A:C,3,FALSE()),"Not Found")</f>
        <v>450</v>
      </c>
      <c r="H40" s="3">
        <f>G40*D40</f>
        <v>8550</v>
      </c>
      <c r="I40" s="3" t="str">
        <f>IF(D40&gt;=10,"OK","Check")</f>
        <v>OK</v>
      </c>
      <c r="J40" s="3">
        <f>INDEX(PriceList!C:C,MATCH(B40,PriceList!A:A,0))</f>
        <v>450</v>
      </c>
    </row>
    <row r="41" spans="1:10">
      <c r="A41" s="3" t="s">
        <v>59</v>
      </c>
      <c r="B41" s="3" t="s">
        <v>12</v>
      </c>
      <c r="C41" s="3" t="s">
        <v>13</v>
      </c>
      <c r="D41" s="3">
        <v>10</v>
      </c>
      <c r="E41" s="2" t="s">
        <v>21</v>
      </c>
      <c r="F41" s="2" t="s">
        <v>15</v>
      </c>
      <c r="G41" s="3">
        <f>IFERROR(VLOOKUP(B41,PriceList!A:C,3,FALSE()),"Not Found")</f>
        <v>450</v>
      </c>
      <c r="H41" s="3">
        <f>G41*D41</f>
        <v>4500</v>
      </c>
      <c r="I41" s="3" t="str">
        <f>IF(D41&gt;=10,"OK","Check")</f>
        <v>OK</v>
      </c>
      <c r="J41" s="3">
        <f>INDEX(PriceList!C:C,MATCH(B41,PriceList!A:A,0))</f>
        <v>450</v>
      </c>
    </row>
    <row r="42" spans="1:10">
      <c r="A42" s="3" t="s">
        <v>60</v>
      </c>
      <c r="B42" s="3" t="s">
        <v>17</v>
      </c>
      <c r="C42" s="3" t="s">
        <v>18</v>
      </c>
      <c r="D42" s="3">
        <v>24</v>
      </c>
      <c r="E42" s="2" t="s">
        <v>14</v>
      </c>
      <c r="F42" s="2" t="s">
        <v>23</v>
      </c>
      <c r="G42" s="3">
        <f>IFERROR(VLOOKUP(B42,PriceList!A:C,3,FALSE()),"Not Found")</f>
        <v>700</v>
      </c>
      <c r="H42" s="3">
        <f>G42*D42</f>
        <v>16800</v>
      </c>
      <c r="I42" s="3" t="str">
        <f>IF(D42&gt;=10,"OK","Check")</f>
        <v>OK</v>
      </c>
      <c r="J42" s="3">
        <f>INDEX(PriceList!C:C,MATCH(B42,PriceList!A:A,0))</f>
        <v>700</v>
      </c>
    </row>
    <row r="43" spans="1:10">
      <c r="A43" s="3" t="s">
        <v>61</v>
      </c>
      <c r="B43" s="3" t="s">
        <v>17</v>
      </c>
      <c r="C43" s="3" t="s">
        <v>18</v>
      </c>
      <c r="D43" s="3">
        <v>13</v>
      </c>
      <c r="E43" s="2" t="s">
        <v>32</v>
      </c>
      <c r="F43" s="2" t="s">
        <v>19</v>
      </c>
      <c r="G43" s="3">
        <f>IFERROR(VLOOKUP(B43,PriceList!A:C,3,FALSE()),"Not Found")</f>
        <v>700</v>
      </c>
      <c r="H43" s="3">
        <f>G43*D43</f>
        <v>9100</v>
      </c>
      <c r="I43" s="3" t="str">
        <f>IF(D43&gt;=10,"OK","Check")</f>
        <v>OK</v>
      </c>
      <c r="J43" s="3">
        <f>INDEX(PriceList!C:C,MATCH(B43,PriceList!A:A,0))</f>
        <v>700</v>
      </c>
    </row>
    <row r="44" spans="1:10">
      <c r="A44" s="3" t="s">
        <v>62</v>
      </c>
      <c r="B44" s="3" t="s">
        <v>12</v>
      </c>
      <c r="C44" s="3" t="s">
        <v>13</v>
      </c>
      <c r="D44" s="3">
        <v>19</v>
      </c>
      <c r="E44" s="2" t="s">
        <v>21</v>
      </c>
      <c r="F44" s="2" t="s">
        <v>19</v>
      </c>
      <c r="G44" s="3">
        <f>IFERROR(VLOOKUP(B44,PriceList!A:C,3,FALSE()),"Not Found")</f>
        <v>450</v>
      </c>
      <c r="H44" s="3">
        <f>G44*D44</f>
        <v>8550</v>
      </c>
      <c r="I44" s="3" t="str">
        <f>IF(D44&gt;=10,"OK","Check")</f>
        <v>OK</v>
      </c>
      <c r="J44" s="3">
        <f>INDEX(PriceList!C:C,MATCH(B44,PriceList!A:A,0))</f>
        <v>450</v>
      </c>
    </row>
    <row r="45" spans="1:10">
      <c r="A45" s="3" t="s">
        <v>63</v>
      </c>
      <c r="B45" s="3" t="s">
        <v>12</v>
      </c>
      <c r="C45" s="3" t="s">
        <v>13</v>
      </c>
      <c r="D45" s="3">
        <v>9</v>
      </c>
      <c r="E45" s="2" t="s">
        <v>21</v>
      </c>
      <c r="F45" s="2" t="s">
        <v>23</v>
      </c>
      <c r="G45" s="3">
        <f>IFERROR(VLOOKUP(B45,PriceList!A:C,3,FALSE()),"Not Found")</f>
        <v>450</v>
      </c>
      <c r="H45" s="3">
        <f>G45*D45</f>
        <v>4050</v>
      </c>
      <c r="I45" s="3" t="str">
        <f>IF(D45&gt;=10,"OK","Check")</f>
        <v>Check</v>
      </c>
      <c r="J45" s="3">
        <f>INDEX(PriceList!C:C,MATCH(B45,PriceList!A:A,0))</f>
        <v>450</v>
      </c>
    </row>
    <row r="46" spans="1:10">
      <c r="A46" s="3" t="s">
        <v>64</v>
      </c>
      <c r="B46" s="3" t="s">
        <v>12</v>
      </c>
      <c r="C46" s="3" t="s">
        <v>13</v>
      </c>
      <c r="D46" s="3">
        <v>35</v>
      </c>
      <c r="E46" s="2" t="s">
        <v>21</v>
      </c>
      <c r="F46" s="2" t="s">
        <v>19</v>
      </c>
      <c r="G46" s="3">
        <f>IFERROR(VLOOKUP(B46,PriceList!A:C,3,FALSE()),"Not Found")</f>
        <v>450</v>
      </c>
      <c r="H46" s="3">
        <f>G46*D46</f>
        <v>15750</v>
      </c>
      <c r="I46" s="3" t="str">
        <f>IF(D46&gt;=10,"OK","Check")</f>
        <v>OK</v>
      </c>
      <c r="J46" s="3">
        <f>INDEX(PriceList!C:C,MATCH(B46,PriceList!A:A,0))</f>
        <v>450</v>
      </c>
    </row>
    <row r="47" spans="1:10">
      <c r="A47" s="3" t="s">
        <v>65</v>
      </c>
      <c r="B47" s="3" t="s">
        <v>25</v>
      </c>
      <c r="C47" s="3" t="s">
        <v>26</v>
      </c>
      <c r="D47" s="3">
        <v>26</v>
      </c>
      <c r="E47" s="2" t="s">
        <v>14</v>
      </c>
      <c r="F47" s="2" t="s">
        <v>15</v>
      </c>
      <c r="G47" s="3">
        <f>IFERROR(VLOOKUP(B47,PriceList!A:C,3,FALSE()),"Not Found")</f>
        <v>500</v>
      </c>
      <c r="H47" s="3">
        <f>G47*D47</f>
        <v>13000</v>
      </c>
      <c r="I47" s="3" t="str">
        <f>IF(D47&gt;=10,"OK","Check")</f>
        <v>OK</v>
      </c>
      <c r="J47" s="3">
        <f>INDEX(PriceList!C:C,MATCH(B47,PriceList!A:A,0))</f>
        <v>500</v>
      </c>
    </row>
    <row r="48" spans="1:10">
      <c r="A48" s="3" t="s">
        <v>66</v>
      </c>
      <c r="B48" s="3" t="s">
        <v>12</v>
      </c>
      <c r="C48" s="3" t="s">
        <v>13</v>
      </c>
      <c r="D48" s="3">
        <v>3</v>
      </c>
      <c r="E48" s="2" t="s">
        <v>21</v>
      </c>
      <c r="F48" s="2" t="s">
        <v>23</v>
      </c>
      <c r="G48" s="3">
        <f>IFERROR(VLOOKUP(B48,PriceList!A:C,3,FALSE()),"Not Found")</f>
        <v>450</v>
      </c>
      <c r="H48" s="3">
        <f>G48*D48</f>
        <v>1350</v>
      </c>
      <c r="I48" s="3" t="str">
        <f>IF(D48&gt;=10,"OK","Check")</f>
        <v>Check</v>
      </c>
      <c r="J48" s="3">
        <f>INDEX(PriceList!C:C,MATCH(B48,PriceList!A:A,0))</f>
        <v>450</v>
      </c>
    </row>
    <row r="49" spans="1:10">
      <c r="A49" s="3" t="s">
        <v>67</v>
      </c>
      <c r="B49" s="3" t="s">
        <v>17</v>
      </c>
      <c r="C49" s="3" t="s">
        <v>18</v>
      </c>
      <c r="D49" s="3">
        <v>4</v>
      </c>
      <c r="E49" s="2" t="s">
        <v>14</v>
      </c>
      <c r="F49" s="2" t="s">
        <v>23</v>
      </c>
      <c r="G49" s="3">
        <f>IFERROR(VLOOKUP(B49,PriceList!A:C,3,FALSE()),"Not Found")</f>
        <v>700</v>
      </c>
      <c r="H49" s="3">
        <f>G49*D49</f>
        <v>2800</v>
      </c>
      <c r="I49" s="3" t="str">
        <f>IF(D49&gt;=10,"OK","Check")</f>
        <v>Check</v>
      </c>
      <c r="J49" s="3">
        <f>INDEX(PriceList!C:C,MATCH(B49,PriceList!A:A,0))</f>
        <v>700</v>
      </c>
    </row>
    <row r="50" spans="1:10">
      <c r="A50" s="3" t="s">
        <v>68</v>
      </c>
      <c r="B50" s="3" t="s">
        <v>17</v>
      </c>
      <c r="C50" s="3" t="s">
        <v>18</v>
      </c>
      <c r="D50" s="3">
        <v>18</v>
      </c>
      <c r="E50" s="2" t="s">
        <v>14</v>
      </c>
      <c r="F50" s="2" t="s">
        <v>19</v>
      </c>
      <c r="G50" s="3">
        <f>IFERROR(VLOOKUP(B50,PriceList!A:C,3,FALSE()),"Not Found")</f>
        <v>700</v>
      </c>
      <c r="H50" s="3">
        <f>G50*D50</f>
        <v>12600</v>
      </c>
      <c r="I50" s="3" t="str">
        <f>IF(D50&gt;=10,"OK","Check")</f>
        <v>OK</v>
      </c>
      <c r="J50" s="3">
        <f>INDEX(PriceList!C:C,MATCH(B50,PriceList!A:A,0))</f>
        <v>700</v>
      </c>
    </row>
    <row r="51" spans="1:10">
      <c r="A51" s="3" t="s">
        <v>69</v>
      </c>
      <c r="B51" s="3" t="s">
        <v>12</v>
      </c>
      <c r="C51" s="3" t="s">
        <v>13</v>
      </c>
      <c r="D51" s="3">
        <v>8</v>
      </c>
      <c r="E51" s="2" t="s">
        <v>14</v>
      </c>
      <c r="F51" s="2" t="s">
        <v>15</v>
      </c>
      <c r="G51" s="3">
        <f>IFERROR(VLOOKUP(B51,PriceList!A:C,3,FALSE()),"Not Found")</f>
        <v>450</v>
      </c>
      <c r="H51" s="3">
        <f>G51*D51</f>
        <v>3600</v>
      </c>
      <c r="I51" s="3" t="str">
        <f>IF(D51&gt;=10,"OK","Check")</f>
        <v>Check</v>
      </c>
      <c r="J51" s="3">
        <f>INDEX(PriceList!C:C,MATCH(B51,PriceList!A:A,0))</f>
        <v>450</v>
      </c>
    </row>
    <row r="52" spans="1:10">
      <c r="A52" s="3" t="s">
        <v>70</v>
      </c>
      <c r="B52" s="3" t="s">
        <v>17</v>
      </c>
      <c r="C52" s="3" t="s">
        <v>18</v>
      </c>
      <c r="D52" s="3">
        <v>7</v>
      </c>
      <c r="E52" s="2" t="s">
        <v>21</v>
      </c>
      <c r="F52" s="2" t="s">
        <v>19</v>
      </c>
      <c r="G52" s="3">
        <f>IFERROR(VLOOKUP(B52,PriceList!A:C,3,FALSE()),"Not Found")</f>
        <v>700</v>
      </c>
      <c r="H52" s="3">
        <f>G52*D52</f>
        <v>4900</v>
      </c>
      <c r="I52" s="3" t="str">
        <f>IF(D52&gt;=10,"OK","Check")</f>
        <v>Check</v>
      </c>
      <c r="J52" s="3">
        <f>INDEX(PriceList!C:C,MATCH(B52,PriceList!A:A,0))</f>
        <v>700</v>
      </c>
    </row>
    <row r="53" spans="1:10">
      <c r="A53" s="3" t="s">
        <v>71</v>
      </c>
      <c r="B53" s="3" t="s">
        <v>25</v>
      </c>
      <c r="C53" s="3" t="s">
        <v>26</v>
      </c>
      <c r="D53" s="3">
        <v>33</v>
      </c>
      <c r="E53" s="2" t="s">
        <v>21</v>
      </c>
      <c r="F53" s="2" t="s">
        <v>19</v>
      </c>
      <c r="G53" s="3">
        <f>IFERROR(VLOOKUP(B53,PriceList!A:C,3,FALSE()),"Not Found")</f>
        <v>500</v>
      </c>
      <c r="H53" s="3">
        <f>G53*D53</f>
        <v>16500</v>
      </c>
      <c r="I53" s="3" t="str">
        <f>IF(D53&gt;=10,"OK","Check")</f>
        <v>OK</v>
      </c>
      <c r="J53" s="3">
        <f>INDEX(PriceList!C:C,MATCH(B53,PriceList!A:A,0))</f>
        <v>500</v>
      </c>
    </row>
    <row r="54" spans="1:10">
      <c r="A54" s="3" t="s">
        <v>72</v>
      </c>
      <c r="B54" s="3" t="s">
        <v>17</v>
      </c>
      <c r="C54" s="3" t="s">
        <v>18</v>
      </c>
      <c r="D54" s="3">
        <v>30</v>
      </c>
      <c r="E54" s="2" t="s">
        <v>14</v>
      </c>
      <c r="F54" s="2" t="s">
        <v>15</v>
      </c>
      <c r="G54" s="3">
        <f>IFERROR(VLOOKUP(B54,PriceList!A:C,3,FALSE()),"Not Found")</f>
        <v>700</v>
      </c>
      <c r="H54" s="3">
        <f>G54*D54</f>
        <v>21000</v>
      </c>
      <c r="I54" s="3" t="str">
        <f>IF(D54&gt;=10,"OK","Check")</f>
        <v>OK</v>
      </c>
      <c r="J54" s="3">
        <f>INDEX(PriceList!C:C,MATCH(B54,PriceList!A:A,0))</f>
        <v>700</v>
      </c>
    </row>
    <row r="56" spans="1:10">
      <c r="A56" s="4" t="s">
        <v>73</v>
      </c>
      <c r="B56" s="3"/>
      <c r="C56" s="3"/>
      <c r="D56" s="2">
        <f>SUM(D5:D54)</f>
        <v>930</v>
      </c>
      <c r="E56" s="3"/>
      <c r="F56" s="3"/>
      <c r="G56" s="3"/>
      <c r="H56" s="3">
        <f>SUM(H5:H54)</f>
        <v>514050</v>
      </c>
      <c r="I56" s="3"/>
      <c r="J56" s="3"/>
    </row>
    <row r="57" spans="1:10">
      <c r="A57" s="4" t="s">
        <v>74</v>
      </c>
      <c r="B57" s="4"/>
      <c r="C57" s="4"/>
      <c r="D57" s="4">
        <f>COUNT(D5:D54)</f>
        <v>50</v>
      </c>
      <c r="E57" s="3"/>
      <c r="F57" s="3"/>
      <c r="G57" s="3"/>
      <c r="H57" s="3"/>
      <c r="I57" s="3"/>
      <c r="J57" s="3"/>
    </row>
    <row r="58" spans="1:10">
      <c r="A58" s="4" t="s">
        <v>75</v>
      </c>
      <c r="B58" s="4"/>
      <c r="C58" s="4"/>
      <c r="D58" s="4">
        <f>COUNTA(A5:A54)</f>
        <v>50</v>
      </c>
      <c r="E58" s="3"/>
      <c r="F58" s="3"/>
      <c r="G58" s="3"/>
      <c r="H58" s="3"/>
      <c r="I58" s="3"/>
      <c r="J58" s="3"/>
    </row>
    <row r="60" spans="1:10">
      <c r="A60" s="5" t="s">
        <v>3</v>
      </c>
      <c r="B60" s="5" t="s">
        <v>76</v>
      </c>
      <c r="C60" s="5" t="s">
        <v>77</v>
      </c>
      <c r="D60" s="3"/>
      <c r="E60" s="3"/>
      <c r="F60" s="3"/>
      <c r="G60" s="3"/>
      <c r="H60" s="3"/>
      <c r="I60" s="3"/>
      <c r="J60" s="3"/>
    </row>
    <row r="61" spans="1:10">
      <c r="A61" s="6" t="s">
        <v>26</v>
      </c>
      <c r="B61" s="6">
        <f>SUMIFS($D$5:$D$54,$C$5:$C$54,A61)</f>
        <v>296</v>
      </c>
      <c r="C61" s="6">
        <f>COUNTIFS($C$5:$C$54,A61)</f>
        <v>14</v>
      </c>
      <c r="D61" s="3"/>
      <c r="E61" s="3"/>
      <c r="F61" s="3"/>
      <c r="G61" s="3"/>
      <c r="H61" s="3"/>
      <c r="I61" s="3"/>
      <c r="J61" s="3"/>
    </row>
    <row r="62" spans="1:10">
      <c r="A62" s="6" t="s">
        <v>18</v>
      </c>
      <c r="B62" s="6">
        <f>SUMIFS($D$5:$D$54,$C$5:$C$54,A62)</f>
        <v>323</v>
      </c>
      <c r="C62" s="6">
        <f>COUNTIFS($C$5:$C$54,A62)</f>
        <v>17</v>
      </c>
      <c r="D62" s="3"/>
      <c r="E62" s="3"/>
      <c r="F62" s="3"/>
      <c r="G62" s="3"/>
      <c r="H62" s="3"/>
      <c r="I62" s="3"/>
      <c r="J62" s="3"/>
    </row>
    <row r="63" spans="1:10">
      <c r="A63" s="6" t="s">
        <v>13</v>
      </c>
      <c r="B63" s="6">
        <f>SUMIFS($D$5:$D$54,$C$5:$C$54,A63)</f>
        <v>311</v>
      </c>
      <c r="C63" s="6">
        <f>COUNTIFS($C$5:$C$54,A63)</f>
        <v>19</v>
      </c>
      <c r="D63" s="3"/>
      <c r="E63" s="3"/>
      <c r="F63" s="3"/>
      <c r="G63" s="3"/>
      <c r="H63" s="3"/>
      <c r="I63" s="3"/>
      <c r="J63" s="3"/>
    </row>
  </sheetData>
  <autoFilter ref="A4:J54" xr:uid="{00000000-0009-0000-0000-000000000000}"/>
  <mergeCells count="1">
    <mergeCell ref="A1:E2"/>
  </mergeCells>
  <conditionalFormatting sqref="H5:H54">
    <cfRule type="cellIs" dxfId="3" priority="2" operator="greaterThan">
      <formula>15000</formula>
    </cfRule>
  </conditionalFormatting>
  <conditionalFormatting sqref="I5:I54">
    <cfRule type="containsText" dxfId="2" priority="3" operator="containsText" text="Check">
      <formula>NOT(ISERROR(SEARCH("Check",I5)))</formula>
    </cfRule>
  </conditionalFormatting>
  <conditionalFormatting sqref="E5:E54">
    <cfRule type="containsText" dxfId="1" priority="4" operator="containsText" text="Cancelled">
      <formula>NOT(ISERROR(SEARCH("Cancelled",E5)))</formula>
    </cfRule>
  </conditionalFormatting>
  <conditionalFormatting sqref="D5:D54">
    <cfRule type="cellIs" dxfId="0" priority="5" operator="lessThan">
      <formula>10</formula>
    </cfRule>
  </conditionalFormatting>
  <dataValidations count="1">
    <dataValidation type="list" allowBlank="1" showInputMessage="1" showErrorMessage="1" sqref="E5:E54" xr:uid="{00000000-0002-0000-0000-000000000000}">
      <formula1>"Pending,Completed,Cancelled"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selection activeCell="D15" sqref="D15"/>
    </sheetView>
  </sheetViews>
  <sheetFormatPr defaultColWidth="8.7109375" defaultRowHeight="15"/>
  <cols>
    <col min="1" max="1" width="10.28515625" customWidth="1"/>
    <col min="3" max="3" width="9.7109375" customWidth="1"/>
  </cols>
  <sheetData>
    <row r="1" spans="1:3">
      <c r="A1" s="5" t="s">
        <v>2</v>
      </c>
      <c r="B1" s="5" t="s">
        <v>3</v>
      </c>
      <c r="C1" s="5" t="s">
        <v>7</v>
      </c>
    </row>
    <row r="2" spans="1:3">
      <c r="A2" s="6" t="s">
        <v>25</v>
      </c>
      <c r="B2" s="6" t="s">
        <v>26</v>
      </c>
      <c r="C2" s="6">
        <v>500</v>
      </c>
    </row>
    <row r="3" spans="1:3">
      <c r="A3" s="6" t="s">
        <v>17</v>
      </c>
      <c r="B3" s="6" t="s">
        <v>18</v>
      </c>
      <c r="C3" s="6">
        <v>700</v>
      </c>
    </row>
    <row r="4" spans="1:3">
      <c r="A4" s="6" t="s">
        <v>12</v>
      </c>
      <c r="B4" s="6" t="s">
        <v>13</v>
      </c>
      <c r="C4" s="6">
        <v>450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7"/>
  <sheetViews>
    <sheetView zoomScaleNormal="100" workbookViewId="0">
      <selection activeCell="H9" sqref="H9"/>
    </sheetView>
  </sheetViews>
  <sheetFormatPr defaultColWidth="8.7109375" defaultRowHeight="15"/>
  <cols>
    <col min="1" max="1" width="11.7109375" customWidth="1"/>
    <col min="2" max="2" width="15.85546875" customWidth="1"/>
    <col min="3" max="3" width="17" customWidth="1"/>
  </cols>
  <sheetData>
    <row r="3" spans="1:2">
      <c r="A3" s="7" t="s">
        <v>3</v>
      </c>
      <c r="B3" s="8" t="s">
        <v>78</v>
      </c>
    </row>
    <row r="4" spans="1:2">
      <c r="A4" s="9" t="s">
        <v>26</v>
      </c>
      <c r="B4" s="10">
        <v>296</v>
      </c>
    </row>
    <row r="5" spans="1:2">
      <c r="A5" s="11" t="s">
        <v>18</v>
      </c>
      <c r="B5" s="12">
        <v>323</v>
      </c>
    </row>
    <row r="6" spans="1:2">
      <c r="A6" s="11" t="s">
        <v>13</v>
      </c>
      <c r="B6" s="13">
        <v>311</v>
      </c>
    </row>
    <row r="7" spans="1:2">
      <c r="A7" s="14" t="s">
        <v>79</v>
      </c>
      <c r="B7" s="15">
        <v>930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2026-09-26T15:03:41Z</dcterms:created>
  <dcterms:modified xsi:type="dcterms:W3CDTF">2026-09-27T07:09:56Z</dcterms:modified>
  <cp:category/>
  <cp:contentStatus/>
</cp:coreProperties>
</file>